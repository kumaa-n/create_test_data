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filterPrivacy="1" codeName="ThisWorkbook" defaultThemeVersion="124226"/>
  <xr:revisionPtr revIDLastSave="0" documentId="13_ncr:1_{5EAACFB0-A866-4688-9F96-53A012D6D90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使用方法" sheetId="4" r:id="rId1"/>
    <sheet name="layout" sheetId="1" r:id="rId2"/>
    <sheet name="data" sheetId="2" r:id="rId3"/>
    <sheet name="ptn" sheetId="3" r:id="rId4"/>
    <sheet name="tbl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  <c r="C1" i="1"/>
  <c r="J40" i="1"/>
  <c r="G1" i="1" l="1"/>
  <c r="J38" i="1"/>
  <c r="J36" i="1"/>
  <c r="J34" i="1"/>
  <c r="J32" i="1"/>
  <c r="J30" i="1"/>
  <c r="J28" i="1"/>
  <c r="J26" i="1"/>
  <c r="J24" i="1"/>
  <c r="J22" i="1"/>
  <c r="J14" i="1"/>
  <c r="J12" i="1"/>
</calcChain>
</file>

<file path=xl/sharedStrings.xml><?xml version="1.0" encoding="utf-8"?>
<sst xmlns="http://schemas.openxmlformats.org/spreadsheetml/2006/main" count="155" uniqueCount="66">
  <si>
    <t>項目名</t>
    <rPh sb="0" eb="2">
      <t>コウモク</t>
    </rPh>
    <rPh sb="2" eb="3">
      <t>メイ</t>
    </rPh>
    <phoneticPr fontId="2"/>
  </si>
  <si>
    <t>属性</t>
    <rPh sb="0" eb="2">
      <t>ゾクセイ</t>
    </rPh>
    <phoneticPr fontId="2"/>
  </si>
  <si>
    <t>レコード数</t>
    <rPh sb="4" eb="5">
      <t>スウ</t>
    </rPh>
    <phoneticPr fontId="2"/>
  </si>
  <si>
    <t>ＮＵＬＬ</t>
    <phoneticPr fontId="2"/>
  </si>
  <si>
    <t>ＳＰＡＣＥ</t>
    <phoneticPr fontId="2"/>
  </si>
  <si>
    <t>文字数／バイト数</t>
    <rPh sb="0" eb="3">
      <t>モジスウ</t>
    </rPh>
    <rPh sb="7" eb="8">
      <t>スウ</t>
    </rPh>
    <phoneticPr fontId="2"/>
  </si>
  <si>
    <t>レコード目</t>
    <rPh sb="4" eb="5">
      <t>メ</t>
    </rPh>
    <phoneticPr fontId="2"/>
  </si>
  <si>
    <t>文字数：0 バイト数：1</t>
    <rPh sb="0" eb="3">
      <t>モジスウ</t>
    </rPh>
    <rPh sb="9" eb="10">
      <t>スウ</t>
    </rPh>
    <phoneticPr fontId="2"/>
  </si>
  <si>
    <t>１文字</t>
    <rPh sb="1" eb="3">
      <t>モジ</t>
    </rPh>
    <phoneticPr fontId="2"/>
  </si>
  <si>
    <t>項目数＋１</t>
    <rPh sb="0" eb="3">
      <t>コウモクスウ</t>
    </rPh>
    <phoneticPr fontId="2"/>
  </si>
  <si>
    <t>項目数－１</t>
    <rPh sb="0" eb="3">
      <t>コウモクスウ</t>
    </rPh>
    <phoneticPr fontId="2"/>
  </si>
  <si>
    <t>空改行</t>
    <rPh sb="0" eb="1">
      <t>カラ</t>
    </rPh>
    <rPh sb="1" eb="3">
      <t>カイギョウ</t>
    </rPh>
    <phoneticPr fontId="2"/>
  </si>
  <si>
    <t>文字数＋１</t>
    <rPh sb="0" eb="3">
      <t>モジスウ</t>
    </rPh>
    <phoneticPr fontId="2"/>
  </si>
  <si>
    <t>～</t>
    <phoneticPr fontId="2"/>
  </si>
  <si>
    <t>文字数－１</t>
    <rPh sb="0" eb="3">
      <t>モジスウ</t>
    </rPh>
    <phoneticPr fontId="2"/>
  </si>
  <si>
    <t>フル桁＋後ＳＰ</t>
    <rPh sb="2" eb="3">
      <t>ケタ</t>
    </rPh>
    <rPh sb="4" eb="5">
      <t>ウシ</t>
    </rPh>
    <phoneticPr fontId="2"/>
  </si>
  <si>
    <t>前ＳＰ＋フル桁</t>
    <rPh sb="0" eb="1">
      <t>マエ</t>
    </rPh>
    <rPh sb="6" eb="7">
      <t>ケタ</t>
    </rPh>
    <phoneticPr fontId="2"/>
  </si>
  <si>
    <t>後ＳＰ込でフル桁</t>
    <rPh sb="0" eb="1">
      <t>ウシ</t>
    </rPh>
    <rPh sb="3" eb="4">
      <t>コミ</t>
    </rPh>
    <rPh sb="7" eb="8">
      <t>ケタ</t>
    </rPh>
    <phoneticPr fontId="2"/>
  </si>
  <si>
    <t>前ＳＰ込でフル桁</t>
    <rPh sb="0" eb="1">
      <t>マエ</t>
    </rPh>
    <rPh sb="3" eb="4">
      <t>コミ</t>
    </rPh>
    <rPh sb="7" eb="8">
      <t>ケタ</t>
    </rPh>
    <phoneticPr fontId="2"/>
  </si>
  <si>
    <t>Ｘ属性　先頭Ｎ</t>
    <rPh sb="1" eb="3">
      <t>ゾクセイ</t>
    </rPh>
    <rPh sb="4" eb="6">
      <t>セントウ</t>
    </rPh>
    <phoneticPr fontId="2"/>
  </si>
  <si>
    <t>Ｘ属性　末尾Ｎ</t>
    <rPh sb="1" eb="3">
      <t>ゾクセイ</t>
    </rPh>
    <phoneticPr fontId="2"/>
  </si>
  <si>
    <t>Ｎ属性　先頭Ｘ</t>
    <rPh sb="1" eb="3">
      <t>ゾクセイ</t>
    </rPh>
    <rPh sb="4" eb="6">
      <t>セントウ</t>
    </rPh>
    <phoneticPr fontId="2"/>
  </si>
  <si>
    <t>Ｎ属性　中間Ｘ</t>
    <rPh sb="1" eb="3">
      <t>ゾクセイ</t>
    </rPh>
    <phoneticPr fontId="2"/>
  </si>
  <si>
    <t>Ｎ属性　末尾Ｘ</t>
    <rPh sb="1" eb="3">
      <t>ゾクセイ</t>
    </rPh>
    <phoneticPr fontId="2"/>
  </si>
  <si>
    <t>９属性　先頭ＮＧ</t>
    <rPh sb="1" eb="3">
      <t>ゾクセイ</t>
    </rPh>
    <rPh sb="4" eb="6">
      <t>セントウ</t>
    </rPh>
    <phoneticPr fontId="2"/>
  </si>
  <si>
    <t>９属性　中間ＮＧ</t>
    <rPh sb="1" eb="3">
      <t>ゾクセイ</t>
    </rPh>
    <phoneticPr fontId="2"/>
  </si>
  <si>
    <t>９属性　末尾ＮＧ</t>
    <rPh sb="1" eb="3">
      <t>ゾクセイ</t>
    </rPh>
    <phoneticPr fontId="2"/>
  </si>
  <si>
    <t>Ｘ属性　先頭に固定値</t>
    <rPh sb="1" eb="3">
      <t>ゾクセイ</t>
    </rPh>
    <rPh sb="4" eb="6">
      <t>セントウ</t>
    </rPh>
    <rPh sb="7" eb="9">
      <t>コテイ</t>
    </rPh>
    <rPh sb="9" eb="10">
      <t>アタイ</t>
    </rPh>
    <phoneticPr fontId="2"/>
  </si>
  <si>
    <t>Ｎ属性　先頭に固定値</t>
    <rPh sb="1" eb="3">
      <t>ゾクセイ</t>
    </rPh>
    <rPh sb="4" eb="6">
      <t>セントウ</t>
    </rPh>
    <rPh sb="7" eb="9">
      <t>コテイ</t>
    </rPh>
    <rPh sb="9" eb="10">
      <t>アタイ</t>
    </rPh>
    <phoneticPr fontId="2"/>
  </si>
  <si>
    <t>Ｏ属性　先頭に固定値</t>
    <rPh sb="1" eb="3">
      <t>ゾクセイ</t>
    </rPh>
    <rPh sb="4" eb="6">
      <t>セントウ</t>
    </rPh>
    <rPh sb="7" eb="9">
      <t>コテイ</t>
    </rPh>
    <rPh sb="9" eb="10">
      <t>アタイ</t>
    </rPh>
    <phoneticPr fontId="2"/>
  </si>
  <si>
    <t>９属性　スペース</t>
    <rPh sb="1" eb="3">
      <t>ゾクセイ</t>
    </rPh>
    <phoneticPr fontId="2"/>
  </si>
  <si>
    <t>Ｘ属性　先頭Ｎ(全項)</t>
    <rPh sb="1" eb="3">
      <t>ゾクセイ</t>
    </rPh>
    <rPh sb="4" eb="6">
      <t>セントウ</t>
    </rPh>
    <rPh sb="8" eb="9">
      <t>ゼン</t>
    </rPh>
    <rPh sb="9" eb="10">
      <t>コウ</t>
    </rPh>
    <phoneticPr fontId="2"/>
  </si>
  <si>
    <t>Ｘ属性　中間Ｎ(全項)</t>
    <rPh sb="1" eb="3">
      <t>ゾクセイ</t>
    </rPh>
    <phoneticPr fontId="2"/>
  </si>
  <si>
    <t>Ｘ属性　中間Ｎ</t>
    <phoneticPr fontId="2"/>
  </si>
  <si>
    <t>Ｘ属性　末尾Ｎ(全項)</t>
    <rPh sb="1" eb="3">
      <t>ゾクセイ</t>
    </rPh>
    <phoneticPr fontId="2"/>
  </si>
  <si>
    <t>Ｎ属性　先頭Ｘ(全項)</t>
    <rPh sb="1" eb="3">
      <t>ゾクセイ</t>
    </rPh>
    <rPh sb="4" eb="6">
      <t>セントウ</t>
    </rPh>
    <phoneticPr fontId="2"/>
  </si>
  <si>
    <t>Ｎ属性　中間Ｘ(全項)</t>
    <rPh sb="1" eb="3">
      <t>ゾクセイ</t>
    </rPh>
    <phoneticPr fontId="2"/>
  </si>
  <si>
    <t>Ｎ属性　末尾Ｘ(全項)</t>
    <rPh sb="1" eb="3">
      <t>ゾクセイ</t>
    </rPh>
    <phoneticPr fontId="2"/>
  </si>
  <si>
    <t>９属性　先頭ＮＧ(全項)</t>
    <rPh sb="1" eb="3">
      <t>ゾクセイ</t>
    </rPh>
    <rPh sb="4" eb="6">
      <t>セントウ</t>
    </rPh>
    <phoneticPr fontId="2"/>
  </si>
  <si>
    <t>９属性　中間ＮＧ(全項)</t>
    <rPh sb="1" eb="3">
      <t>ゾクセイ</t>
    </rPh>
    <phoneticPr fontId="2"/>
  </si>
  <si>
    <t>９属性　末尾ＮＧ(全項)</t>
    <rPh sb="1" eb="3">
      <t>ゾクセイ</t>
    </rPh>
    <phoneticPr fontId="2"/>
  </si>
  <si>
    <t>９属性　スペース(全項)</t>
    <rPh sb="1" eb="3">
      <t>ゾクセイ</t>
    </rPh>
    <phoneticPr fontId="2"/>
  </si>
  <si>
    <t>↑このＫＥＹと</t>
    <phoneticPr fontId="2"/>
  </si>
  <si>
    <t>↑このパターン名の組合せは変えないこと。</t>
    <rPh sb="7" eb="8">
      <t>メイ</t>
    </rPh>
    <rPh sb="9" eb="11">
      <t>クミアワ</t>
    </rPh>
    <rPh sb="13" eb="14">
      <t>カ</t>
    </rPh>
    <phoneticPr fontId="2"/>
  </si>
  <si>
    <t>文字数－１(全項)</t>
    <rPh sb="0" eb="3">
      <t>モジスウ</t>
    </rPh>
    <phoneticPr fontId="2"/>
  </si>
  <si>
    <t>文字数＋１(全項)</t>
    <rPh sb="0" eb="3">
      <t>モジスウ</t>
    </rPh>
    <phoneticPr fontId="2"/>
  </si>
  <si>
    <t>既存の組合せを変えなければ挿入ＯＫ。</t>
    <rPh sb="0" eb="2">
      <t>キゾン</t>
    </rPh>
    <rPh sb="3" eb="5">
      <t>クミアワ</t>
    </rPh>
    <rPh sb="7" eb="8">
      <t>カ</t>
    </rPh>
    <rPh sb="13" eb="15">
      <t>ソウニュウ</t>
    </rPh>
    <phoneticPr fontId="2"/>
  </si>
  <si>
    <t>※　項目名は適当でもＯＫ</t>
    <rPh sb="2" eb="4">
      <t>コウモク</t>
    </rPh>
    <rPh sb="4" eb="5">
      <t>メイ</t>
    </rPh>
    <rPh sb="6" eb="8">
      <t>テキトウ</t>
    </rPh>
    <phoneticPr fontId="2"/>
  </si>
  <si>
    <t>Layoutシートにて</t>
    <phoneticPr fontId="2"/>
  </si>
  <si>
    <r>
      <t>１．１～３列目の2行目からレイアウトを貼り付ける。</t>
    </r>
    <r>
      <rPr>
        <sz val="11"/>
        <color rgb="FFFF0000"/>
        <rFont val="ＭＳ Ｐゴシック"/>
        <family val="3"/>
        <charset val="128"/>
        <scheme val="minor"/>
      </rPr>
      <t>（必須）</t>
    </r>
    <rPh sb="5" eb="6">
      <t>レツ</t>
    </rPh>
    <rPh sb="6" eb="7">
      <t>メ</t>
    </rPh>
    <rPh sb="9" eb="11">
      <t>ギョウメ</t>
    </rPh>
    <rPh sb="19" eb="20">
      <t>ハ</t>
    </rPh>
    <rPh sb="21" eb="22">
      <t>ツ</t>
    </rPh>
    <rPh sb="26" eb="28">
      <t>ヒッス</t>
    </rPh>
    <phoneticPr fontId="2"/>
  </si>
  <si>
    <r>
      <t>２．作成するレコード数を「レコード数」セル（橙色）に入力する。</t>
    </r>
    <r>
      <rPr>
        <sz val="11"/>
        <color rgb="FFFF0000"/>
        <rFont val="ＭＳ Ｐゴシック"/>
        <family val="3"/>
        <charset val="128"/>
        <scheme val="minor"/>
      </rPr>
      <t>（必須）</t>
    </r>
    <rPh sb="2" eb="4">
      <t>サクセイ</t>
    </rPh>
    <rPh sb="10" eb="11">
      <t>スウ</t>
    </rPh>
    <rPh sb="17" eb="18">
      <t>スウ</t>
    </rPh>
    <rPh sb="22" eb="24">
      <t>ダイダイイロ</t>
    </rPh>
    <rPh sb="26" eb="28">
      <t>ニュウリョク</t>
    </rPh>
    <phoneticPr fontId="2"/>
  </si>
  <si>
    <r>
      <t>３．１で貼り付けたレイアウトの３列目が文字数かバイト数かを「文字数／バイト数」セル（橙色）に入力する。</t>
    </r>
    <r>
      <rPr>
        <sz val="11"/>
        <color rgb="FFFF0000"/>
        <rFont val="ＭＳ Ｐゴシック"/>
        <family val="3"/>
        <charset val="128"/>
        <scheme val="minor"/>
      </rPr>
      <t>（必須）</t>
    </r>
    <rPh sb="4" eb="5">
      <t>ハ</t>
    </rPh>
    <rPh sb="6" eb="7">
      <t>ツ</t>
    </rPh>
    <rPh sb="16" eb="17">
      <t>レツ</t>
    </rPh>
    <rPh sb="17" eb="18">
      <t>メ</t>
    </rPh>
    <rPh sb="19" eb="22">
      <t>モジスウ</t>
    </rPh>
    <rPh sb="26" eb="27">
      <t>スウ</t>
    </rPh>
    <rPh sb="30" eb="33">
      <t>モジスウ</t>
    </rPh>
    <rPh sb="37" eb="38">
      <t>スウ</t>
    </rPh>
    <rPh sb="46" eb="48">
      <t>ニュウリョク</t>
    </rPh>
    <phoneticPr fontId="2"/>
  </si>
  <si>
    <r>
      <t>４．発生させるパターンのセル（橙色）に○レコード目を入力する。</t>
    </r>
    <r>
      <rPr>
        <sz val="11"/>
        <color rgb="FFFF0000"/>
        <rFont val="ＭＳ Ｐゴシック"/>
        <family val="3"/>
        <charset val="128"/>
        <scheme val="minor"/>
      </rPr>
      <t>（任意）</t>
    </r>
    <rPh sb="2" eb="4">
      <t>ハッセイ</t>
    </rPh>
    <rPh sb="24" eb="25">
      <t>メ</t>
    </rPh>
    <rPh sb="26" eb="28">
      <t>ニュウリョク</t>
    </rPh>
    <rPh sb="32" eb="34">
      <t>ニンイ</t>
    </rPh>
    <phoneticPr fontId="2"/>
  </si>
  <si>
    <r>
      <t>５．各項目の値の先頭に固定で文字列を付加する場合は１３列目のセル（橙色）に各属性毎に指定する。</t>
    </r>
    <r>
      <rPr>
        <sz val="11"/>
        <color rgb="FFFF0000"/>
        <rFont val="ＭＳ Ｐゴシック"/>
        <family val="3"/>
        <charset val="128"/>
        <scheme val="minor"/>
      </rPr>
      <t>（任意）</t>
    </r>
    <rPh sb="2" eb="3">
      <t>カク</t>
    </rPh>
    <rPh sb="3" eb="5">
      <t>コウモク</t>
    </rPh>
    <rPh sb="6" eb="7">
      <t>アタイ</t>
    </rPh>
    <rPh sb="8" eb="10">
      <t>セントウ</t>
    </rPh>
    <rPh sb="11" eb="13">
      <t>コテイ</t>
    </rPh>
    <rPh sb="14" eb="17">
      <t>モジレツ</t>
    </rPh>
    <rPh sb="18" eb="20">
      <t>フカ</t>
    </rPh>
    <rPh sb="22" eb="24">
      <t>バアイ</t>
    </rPh>
    <rPh sb="27" eb="28">
      <t>レツ</t>
    </rPh>
    <rPh sb="28" eb="29">
      <t>メ</t>
    </rPh>
    <rPh sb="37" eb="38">
      <t>カク</t>
    </rPh>
    <rPh sb="38" eb="40">
      <t>ゾクセイ</t>
    </rPh>
    <rPh sb="40" eb="41">
      <t>ゴト</t>
    </rPh>
    <rPh sb="42" eb="44">
      <t>シテイ</t>
    </rPh>
    <phoneticPr fontId="2"/>
  </si>
  <si>
    <t>※　発生させないパターンはブランクか"0"指定でＯＫ</t>
    <rPh sb="2" eb="4">
      <t>ハッセイ</t>
    </rPh>
    <rPh sb="21" eb="23">
      <t>シテイ</t>
    </rPh>
    <phoneticPr fontId="2"/>
  </si>
  <si>
    <t>※　不要な場合はブランクでＯＫ</t>
    <rPh sb="2" eb="4">
      <t>フヨウ</t>
    </rPh>
    <rPh sb="5" eb="7">
      <t>バアイ</t>
    </rPh>
    <phoneticPr fontId="2"/>
  </si>
  <si>
    <t>６．「作成」ボタンをクリックする。</t>
    <rPh sb="3" eb="5">
      <t>サクセイ</t>
    </rPh>
    <phoneticPr fontId="2"/>
  </si>
  <si>
    <t>前ＳＰ＋フル桁＋後ＳＰ</t>
    <rPh sb="0" eb="1">
      <t>マエ</t>
    </rPh>
    <rPh sb="6" eb="7">
      <t>ケタ</t>
    </rPh>
    <rPh sb="8" eb="9">
      <t>ウシ</t>
    </rPh>
    <phoneticPr fontId="2"/>
  </si>
  <si>
    <t>前後ＳＰ込でフル桁</t>
    <rPh sb="0" eb="1">
      <t>マエ</t>
    </rPh>
    <rPh sb="1" eb="2">
      <t>ゴ</t>
    </rPh>
    <rPh sb="4" eb="5">
      <t>コミ</t>
    </rPh>
    <rPh sb="8" eb="9">
      <t>ケタ</t>
    </rPh>
    <phoneticPr fontId="2"/>
  </si>
  <si>
    <t>X</t>
  </si>
  <si>
    <t>N</t>
  </si>
  <si>
    <t>Flag</t>
    <phoneticPr fontId="2"/>
  </si>
  <si>
    <t>DateCreated</t>
    <phoneticPr fontId="2"/>
  </si>
  <si>
    <t>Wareki</t>
    <phoneticPr fontId="2"/>
  </si>
  <si>
    <t xml:space="preserve">VH,H ,M ,L </t>
  </si>
  <si>
    <t xml:space="preserve">0,1,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</si>
</sst>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0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0"/>
      <color rgb="FFFF0000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177" fontId="1" fillId="0" borderId="0" xfId="0" applyNumberFormat="1" applyFont="1"/>
    <xf numFmtId="176" fontId="1" fillId="0" borderId="0" xfId="0" applyNumberFormat="1" applyFont="1"/>
    <xf numFmtId="0" fontId="3" fillId="0" borderId="0" xfId="0" applyFont="1"/>
    <xf numFmtId="177" fontId="1" fillId="3" borderId="0" xfId="0" applyNumberFormat="1" applyFont="1" applyFill="1"/>
    <xf numFmtId="0" fontId="1" fillId="3" borderId="1" xfId="0" applyFont="1" applyFill="1" applyBorder="1"/>
    <xf numFmtId="0" fontId="1" fillId="3" borderId="0" xfId="0" applyFont="1" applyFill="1"/>
    <xf numFmtId="176" fontId="1" fillId="2" borderId="2" xfId="0" applyNumberFormat="1" applyFont="1" applyFill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49" fontId="1" fillId="2" borderId="2" xfId="0" applyNumberFormat="1" applyFont="1" applyFill="1" applyBorder="1"/>
    <xf numFmtId="49" fontId="1" fillId="2" borderId="3" xfId="0" applyNumberFormat="1" applyFont="1" applyFill="1" applyBorder="1"/>
    <xf numFmtId="49" fontId="1" fillId="2" borderId="4" xfId="0" applyNumberFormat="1" applyFont="1" applyFill="1" applyBorder="1"/>
    <xf numFmtId="49" fontId="1" fillId="3" borderId="0" xfId="0" applyNumberFormat="1" applyFont="1" applyFill="1"/>
    <xf numFmtId="0" fontId="5" fillId="0" borderId="0" xfId="0" applyFont="1"/>
    <xf numFmtId="176" fontId="1" fillId="2" borderId="0" xfId="0" applyNumberFormat="1" applyFont="1" applyFill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6</xdr:row>
          <xdr:rowOff>66675</xdr:rowOff>
        </xdr:from>
        <xdr:to>
          <xdr:col>4</xdr:col>
          <xdr:colOff>523875</xdr:colOff>
          <xdr:row>8</xdr:row>
          <xdr:rowOff>66675</xdr:rowOff>
        </xdr:to>
        <xdr:sp macro="" textlink="">
          <xdr:nvSpPr>
            <xdr:cNvPr id="1028" name="btnResetO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8</xdr:row>
          <xdr:rowOff>142875</xdr:rowOff>
        </xdr:from>
        <xdr:to>
          <xdr:col>4</xdr:col>
          <xdr:colOff>533400</xdr:colOff>
          <xdr:row>10</xdr:row>
          <xdr:rowOff>142875</xdr:rowOff>
        </xdr:to>
        <xdr:sp macro="" textlink="">
          <xdr:nvSpPr>
            <xdr:cNvPr id="1029" name="btnResetN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11</xdr:row>
          <xdr:rowOff>76200</xdr:rowOff>
        </xdr:from>
        <xdr:to>
          <xdr:col>4</xdr:col>
          <xdr:colOff>504825</xdr:colOff>
          <xdr:row>13</xdr:row>
          <xdr:rowOff>47625</xdr:rowOff>
        </xdr:to>
        <xdr:sp macro="" textlink="">
          <xdr:nvSpPr>
            <xdr:cNvPr id="1032" name="btnCle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10"/>
  <sheetViews>
    <sheetView workbookViewId="0">
      <selection activeCell="B34" sqref="B34"/>
    </sheetView>
  </sheetViews>
  <sheetFormatPr defaultRowHeight="13.5" x14ac:dyDescent="0.15"/>
  <sheetData>
    <row r="1" spans="1:2" x14ac:dyDescent="0.15">
      <c r="A1" s="17" t="s">
        <v>48</v>
      </c>
    </row>
    <row r="2" spans="1:2" x14ac:dyDescent="0.15">
      <c r="A2" t="s">
        <v>49</v>
      </c>
    </row>
    <row r="3" spans="1:2" x14ac:dyDescent="0.15">
      <c r="B3" t="s">
        <v>47</v>
      </c>
    </row>
    <row r="4" spans="1:2" x14ac:dyDescent="0.15">
      <c r="A4" t="s">
        <v>50</v>
      </c>
    </row>
    <row r="5" spans="1:2" x14ac:dyDescent="0.15">
      <c r="A5" t="s">
        <v>51</v>
      </c>
    </row>
    <row r="6" spans="1:2" x14ac:dyDescent="0.15">
      <c r="A6" t="s">
        <v>52</v>
      </c>
    </row>
    <row r="7" spans="1:2" x14ac:dyDescent="0.15">
      <c r="B7" t="s">
        <v>54</v>
      </c>
    </row>
    <row r="8" spans="1:2" x14ac:dyDescent="0.15">
      <c r="A8" t="s">
        <v>53</v>
      </c>
    </row>
    <row r="9" spans="1:2" x14ac:dyDescent="0.15">
      <c r="B9" t="s">
        <v>55</v>
      </c>
    </row>
    <row r="10" spans="1:2" x14ac:dyDescent="0.15">
      <c r="A10" t="s">
        <v>56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44"/>
  <sheetViews>
    <sheetView tabSelected="1" workbookViewId="0"/>
  </sheetViews>
  <sheetFormatPr defaultRowHeight="12" x14ac:dyDescent="0.15"/>
  <cols>
    <col min="1" max="1" width="9.5" style="3" customWidth="1"/>
    <col min="2" max="2" width="9" style="3"/>
    <col min="3" max="4" width="9" style="1"/>
    <col min="5" max="5" width="12.875" style="1" customWidth="1"/>
    <col min="6" max="6" width="20" style="1" bestFit="1" customWidth="1"/>
    <col min="7" max="7" width="9" style="5" customWidth="1"/>
    <col min="8" max="8" width="13.375" style="1" customWidth="1"/>
    <col min="9" max="9" width="4.25" style="1" customWidth="1"/>
    <col min="10" max="10" width="9" style="4"/>
    <col min="11" max="11" width="9" style="1"/>
    <col min="12" max="12" width="18.875" style="1" customWidth="1"/>
    <col min="13" max="16384" width="9" style="1"/>
  </cols>
  <sheetData>
    <row r="1" spans="1:13" x14ac:dyDescent="0.15">
      <c r="A1" s="16" t="s">
        <v>0</v>
      </c>
      <c r="B1" s="16" t="s">
        <v>1</v>
      </c>
      <c r="C1" s="9" t="str">
        <f>IF($G$4=0,"文字数","バイト数")</f>
        <v>文字数</v>
      </c>
      <c r="F1" s="1" t="str">
        <f>"合計" &amp; IF($G$4=0,"文字数","バイト数")</f>
        <v>合計文字数</v>
      </c>
      <c r="G1" s="8">
        <f>SUM($C$2:$C$10004)</f>
        <v>144</v>
      </c>
    </row>
    <row r="2" spans="1:13" x14ac:dyDescent="0.15">
      <c r="A2" s="3">
        <v>1</v>
      </c>
      <c r="B2" s="3" t="s">
        <v>59</v>
      </c>
      <c r="C2" s="1">
        <v>4</v>
      </c>
    </row>
    <row r="3" spans="1:13" x14ac:dyDescent="0.15">
      <c r="A3" s="3">
        <v>2</v>
      </c>
      <c r="B3" s="3">
        <v>9</v>
      </c>
      <c r="C3" s="1">
        <v>8</v>
      </c>
      <c r="F3" s="1" t="s">
        <v>2</v>
      </c>
      <c r="G3" s="10">
        <v>20</v>
      </c>
    </row>
    <row r="4" spans="1:13" x14ac:dyDescent="0.15">
      <c r="A4" s="3">
        <v>3</v>
      </c>
      <c r="B4" s="3" t="s">
        <v>59</v>
      </c>
      <c r="C4" s="1">
        <v>10</v>
      </c>
      <c r="F4" s="1" t="s">
        <v>5</v>
      </c>
      <c r="G4" s="11">
        <v>0</v>
      </c>
      <c r="H4" s="1" t="s">
        <v>7</v>
      </c>
      <c r="L4" s="1" t="s">
        <v>27</v>
      </c>
      <c r="M4" s="13"/>
    </row>
    <row r="5" spans="1:13" x14ac:dyDescent="0.15">
      <c r="A5" s="3">
        <v>4</v>
      </c>
      <c r="B5" s="3" t="s">
        <v>60</v>
      </c>
      <c r="C5" s="1">
        <v>60</v>
      </c>
      <c r="E5" s="9">
        <v>1</v>
      </c>
      <c r="F5" s="1" t="s">
        <v>8</v>
      </c>
      <c r="G5" s="11">
        <v>4</v>
      </c>
      <c r="H5" s="1" t="s">
        <v>6</v>
      </c>
      <c r="L5" s="1" t="s">
        <v>28</v>
      </c>
      <c r="M5" s="14"/>
    </row>
    <row r="6" spans="1:13" x14ac:dyDescent="0.15">
      <c r="A6" s="3">
        <v>5</v>
      </c>
      <c r="B6" s="3" t="s">
        <v>59</v>
      </c>
      <c r="C6" s="1">
        <v>48</v>
      </c>
      <c r="E6" s="9">
        <v>2</v>
      </c>
      <c r="F6" s="1" t="s">
        <v>3</v>
      </c>
      <c r="G6" s="11">
        <v>2</v>
      </c>
      <c r="H6" s="1" t="s">
        <v>6</v>
      </c>
      <c r="L6" s="1" t="s">
        <v>29</v>
      </c>
      <c r="M6" s="15"/>
    </row>
    <row r="7" spans="1:13" x14ac:dyDescent="0.15">
      <c r="A7" s="3">
        <v>6</v>
      </c>
      <c r="B7" s="3">
        <v>9</v>
      </c>
      <c r="C7" s="1">
        <v>8</v>
      </c>
      <c r="E7" s="9">
        <v>3</v>
      </c>
      <c r="F7" s="1" t="s">
        <v>4</v>
      </c>
      <c r="G7" s="11">
        <v>3</v>
      </c>
      <c r="H7" s="1" t="s">
        <v>6</v>
      </c>
    </row>
    <row r="8" spans="1:13" x14ac:dyDescent="0.15">
      <c r="A8" s="3">
        <v>7</v>
      </c>
      <c r="B8" s="3" t="s">
        <v>59</v>
      </c>
      <c r="C8" s="1">
        <v>1</v>
      </c>
      <c r="E8" s="9">
        <v>4</v>
      </c>
      <c r="F8" s="1" t="s">
        <v>9</v>
      </c>
      <c r="G8" s="11"/>
      <c r="H8" s="1" t="s">
        <v>6</v>
      </c>
    </row>
    <row r="9" spans="1:13" x14ac:dyDescent="0.15">
      <c r="A9" s="3">
        <v>8</v>
      </c>
      <c r="B9" s="3" t="s">
        <v>59</v>
      </c>
      <c r="C9" s="1">
        <v>2</v>
      </c>
      <c r="E9" s="9">
        <v>5</v>
      </c>
      <c r="F9" s="1" t="s">
        <v>10</v>
      </c>
      <c r="G9" s="11"/>
      <c r="H9" s="1" t="s">
        <v>6</v>
      </c>
    </row>
    <row r="10" spans="1:13" x14ac:dyDescent="0.15">
      <c r="A10" s="3">
        <v>9</v>
      </c>
      <c r="B10" s="3" t="s">
        <v>59</v>
      </c>
      <c r="C10" s="1">
        <v>1</v>
      </c>
      <c r="E10" s="9">
        <v>6</v>
      </c>
      <c r="F10" s="1" t="s">
        <v>11</v>
      </c>
      <c r="G10" s="11"/>
      <c r="H10" s="1" t="s">
        <v>6</v>
      </c>
    </row>
    <row r="11" spans="1:13" x14ac:dyDescent="0.15">
      <c r="A11" s="3">
        <v>10</v>
      </c>
      <c r="B11" s="3" t="s">
        <v>59</v>
      </c>
      <c r="C11" s="1">
        <v>2</v>
      </c>
      <c r="E11" s="9">
        <v>7</v>
      </c>
      <c r="F11" s="1" t="s">
        <v>45</v>
      </c>
      <c r="G11" s="11"/>
      <c r="H11" s="1" t="s">
        <v>6</v>
      </c>
    </row>
    <row r="12" spans="1:13" x14ac:dyDescent="0.15">
      <c r="E12" s="9">
        <v>8</v>
      </c>
      <c r="F12" s="1" t="s">
        <v>12</v>
      </c>
      <c r="G12" s="11"/>
      <c r="H12" s="1" t="s">
        <v>6</v>
      </c>
      <c r="I12" s="2" t="s">
        <v>13</v>
      </c>
      <c r="J12" s="7">
        <f>G12+COUNTA($B$2:$B$10004)-1</f>
        <v>9</v>
      </c>
      <c r="K12" s="1" t="s">
        <v>6</v>
      </c>
    </row>
    <row r="13" spans="1:13" x14ac:dyDescent="0.15">
      <c r="E13" s="9">
        <v>9</v>
      </c>
      <c r="F13" s="1" t="s">
        <v>44</v>
      </c>
      <c r="G13" s="11"/>
      <c r="H13" s="1" t="s">
        <v>6</v>
      </c>
    </row>
    <row r="14" spans="1:13" x14ac:dyDescent="0.15">
      <c r="E14" s="9">
        <v>10</v>
      </c>
      <c r="F14" s="1" t="s">
        <v>14</v>
      </c>
      <c r="G14" s="11"/>
      <c r="H14" s="1" t="s">
        <v>6</v>
      </c>
      <c r="I14" s="2" t="s">
        <v>13</v>
      </c>
      <c r="J14" s="7">
        <f>G14+COUNTA($B$2:$B$10004)-1</f>
        <v>9</v>
      </c>
      <c r="K14" s="1" t="s">
        <v>6</v>
      </c>
    </row>
    <row r="15" spans="1:13" x14ac:dyDescent="0.15">
      <c r="E15" s="9">
        <v>11</v>
      </c>
      <c r="F15" s="1" t="s">
        <v>15</v>
      </c>
      <c r="G15" s="11"/>
      <c r="H15" s="1" t="s">
        <v>6</v>
      </c>
    </row>
    <row r="16" spans="1:13" x14ac:dyDescent="0.15">
      <c r="E16" s="9">
        <v>12</v>
      </c>
      <c r="F16" s="1" t="s">
        <v>16</v>
      </c>
      <c r="G16" s="11"/>
      <c r="H16" s="1" t="s">
        <v>6</v>
      </c>
    </row>
    <row r="17" spans="5:11" x14ac:dyDescent="0.15">
      <c r="E17" s="9">
        <v>13</v>
      </c>
      <c r="F17" s="1" t="s">
        <v>57</v>
      </c>
      <c r="G17" s="11"/>
      <c r="H17" s="1" t="s">
        <v>6</v>
      </c>
    </row>
    <row r="18" spans="5:11" x14ac:dyDescent="0.15">
      <c r="E18" s="9">
        <v>14</v>
      </c>
      <c r="F18" s="1" t="s">
        <v>17</v>
      </c>
      <c r="G18" s="11"/>
      <c r="H18" s="1" t="s">
        <v>6</v>
      </c>
    </row>
    <row r="19" spans="5:11" x14ac:dyDescent="0.15">
      <c r="E19" s="9">
        <v>15</v>
      </c>
      <c r="F19" s="1" t="s">
        <v>18</v>
      </c>
      <c r="G19" s="11"/>
      <c r="H19" s="1" t="s">
        <v>6</v>
      </c>
    </row>
    <row r="20" spans="5:11" x14ac:dyDescent="0.15">
      <c r="E20" s="9">
        <v>16</v>
      </c>
      <c r="F20" s="1" t="s">
        <v>58</v>
      </c>
      <c r="G20" s="11"/>
      <c r="H20" s="1" t="s">
        <v>6</v>
      </c>
    </row>
    <row r="21" spans="5:11" x14ac:dyDescent="0.15">
      <c r="E21" s="9">
        <v>17</v>
      </c>
      <c r="F21" s="6" t="s">
        <v>31</v>
      </c>
      <c r="G21" s="11"/>
      <c r="H21" s="1" t="s">
        <v>6</v>
      </c>
    </row>
    <row r="22" spans="5:11" x14ac:dyDescent="0.15">
      <c r="E22" s="9">
        <v>18</v>
      </c>
      <c r="F22" s="6" t="s">
        <v>19</v>
      </c>
      <c r="G22" s="11"/>
      <c r="H22" s="1" t="s">
        <v>6</v>
      </c>
      <c r="I22" s="2" t="s">
        <v>13</v>
      </c>
      <c r="J22" s="7">
        <f>G22+COUNTIF($B$2:$B$10004, "X")-1</f>
        <v>6</v>
      </c>
      <c r="K22" s="1" t="s">
        <v>6</v>
      </c>
    </row>
    <row r="23" spans="5:11" x14ac:dyDescent="0.15">
      <c r="E23" s="9">
        <v>19</v>
      </c>
      <c r="F23" s="6" t="s">
        <v>32</v>
      </c>
      <c r="G23" s="11"/>
      <c r="H23" s="1" t="s">
        <v>6</v>
      </c>
    </row>
    <row r="24" spans="5:11" x14ac:dyDescent="0.15">
      <c r="E24" s="9">
        <v>20</v>
      </c>
      <c r="F24" s="6" t="s">
        <v>33</v>
      </c>
      <c r="G24" s="11"/>
      <c r="H24" s="1" t="s">
        <v>6</v>
      </c>
      <c r="I24" s="2" t="s">
        <v>13</v>
      </c>
      <c r="J24" s="7">
        <f>G24+COUNTIF($B$2:$B$10004, "X")-1</f>
        <v>6</v>
      </c>
      <c r="K24" s="1" t="s">
        <v>6</v>
      </c>
    </row>
    <row r="25" spans="5:11" x14ac:dyDescent="0.15">
      <c r="E25" s="9">
        <v>21</v>
      </c>
      <c r="F25" s="6" t="s">
        <v>34</v>
      </c>
      <c r="G25" s="11"/>
      <c r="H25" s="1" t="s">
        <v>6</v>
      </c>
    </row>
    <row r="26" spans="5:11" x14ac:dyDescent="0.15">
      <c r="E26" s="9">
        <v>22</v>
      </c>
      <c r="F26" s="6" t="s">
        <v>20</v>
      </c>
      <c r="G26" s="11"/>
      <c r="H26" s="1" t="s">
        <v>6</v>
      </c>
      <c r="I26" s="2" t="s">
        <v>13</v>
      </c>
      <c r="J26" s="7">
        <f>G26+COUNTIF($B$2:$B$10004, "X")-1</f>
        <v>6</v>
      </c>
      <c r="K26" s="1" t="s">
        <v>6</v>
      </c>
    </row>
    <row r="27" spans="5:11" x14ac:dyDescent="0.15">
      <c r="E27" s="9">
        <v>23</v>
      </c>
      <c r="F27" s="6" t="s">
        <v>35</v>
      </c>
      <c r="G27" s="11"/>
      <c r="H27" s="1" t="s">
        <v>6</v>
      </c>
    </row>
    <row r="28" spans="5:11" x14ac:dyDescent="0.15">
      <c r="E28" s="9">
        <v>24</v>
      </c>
      <c r="F28" s="6" t="s">
        <v>21</v>
      </c>
      <c r="G28" s="11"/>
      <c r="H28" s="1" t="s">
        <v>6</v>
      </c>
      <c r="I28" s="2" t="s">
        <v>13</v>
      </c>
      <c r="J28" s="7">
        <f>G28+COUNTIF($B$2:$B$10004, "N")-1</f>
        <v>0</v>
      </c>
      <c r="K28" s="1" t="s">
        <v>6</v>
      </c>
    </row>
    <row r="29" spans="5:11" x14ac:dyDescent="0.15">
      <c r="E29" s="9">
        <v>25</v>
      </c>
      <c r="F29" s="6" t="s">
        <v>36</v>
      </c>
      <c r="G29" s="11"/>
      <c r="H29" s="1" t="s">
        <v>6</v>
      </c>
    </row>
    <row r="30" spans="5:11" x14ac:dyDescent="0.15">
      <c r="E30" s="9">
        <v>26</v>
      </c>
      <c r="F30" s="6" t="s">
        <v>22</v>
      </c>
      <c r="G30" s="11"/>
      <c r="H30" s="1" t="s">
        <v>6</v>
      </c>
      <c r="I30" s="2" t="s">
        <v>13</v>
      </c>
      <c r="J30" s="7">
        <f>G30+COUNTIF($B$2:$B$10004, "N")-1</f>
        <v>0</v>
      </c>
      <c r="K30" s="1" t="s">
        <v>6</v>
      </c>
    </row>
    <row r="31" spans="5:11" x14ac:dyDescent="0.15">
      <c r="E31" s="9">
        <v>27</v>
      </c>
      <c r="F31" s="6" t="s">
        <v>37</v>
      </c>
      <c r="G31" s="11"/>
      <c r="H31" s="1" t="s">
        <v>6</v>
      </c>
    </row>
    <row r="32" spans="5:11" x14ac:dyDescent="0.15">
      <c r="E32" s="9">
        <v>28</v>
      </c>
      <c r="F32" s="6" t="s">
        <v>23</v>
      </c>
      <c r="G32" s="11"/>
      <c r="H32" s="1" t="s">
        <v>6</v>
      </c>
      <c r="I32" s="2" t="s">
        <v>13</v>
      </c>
      <c r="J32" s="7">
        <f>G32+COUNTIF($B$2:$B$10004, "N")-1</f>
        <v>0</v>
      </c>
      <c r="K32" s="1" t="s">
        <v>6</v>
      </c>
    </row>
    <row r="33" spans="5:11" x14ac:dyDescent="0.15">
      <c r="E33" s="9">
        <v>29</v>
      </c>
      <c r="F33" s="6" t="s">
        <v>38</v>
      </c>
      <c r="G33" s="11"/>
      <c r="H33" s="1" t="s">
        <v>6</v>
      </c>
    </row>
    <row r="34" spans="5:11" x14ac:dyDescent="0.15">
      <c r="E34" s="9">
        <v>30</v>
      </c>
      <c r="F34" s="6" t="s">
        <v>24</v>
      </c>
      <c r="G34" s="11"/>
      <c r="H34" s="1" t="s">
        <v>6</v>
      </c>
      <c r="I34" s="2" t="s">
        <v>13</v>
      </c>
      <c r="J34" s="7">
        <f>G34+COUNTIF($B$2:$B$10004, "9")-1</f>
        <v>1</v>
      </c>
      <c r="K34" s="1" t="s">
        <v>6</v>
      </c>
    </row>
    <row r="35" spans="5:11" x14ac:dyDescent="0.15">
      <c r="E35" s="9">
        <v>31</v>
      </c>
      <c r="F35" s="6" t="s">
        <v>39</v>
      </c>
      <c r="G35" s="11"/>
      <c r="H35" s="1" t="s">
        <v>6</v>
      </c>
    </row>
    <row r="36" spans="5:11" x14ac:dyDescent="0.15">
      <c r="E36" s="9">
        <v>32</v>
      </c>
      <c r="F36" s="6" t="s">
        <v>25</v>
      </c>
      <c r="G36" s="11"/>
      <c r="H36" s="1" t="s">
        <v>6</v>
      </c>
      <c r="I36" s="2" t="s">
        <v>13</v>
      </c>
      <c r="J36" s="7">
        <f>G36+COUNTIF($B$2:$B$10004, "9")-1</f>
        <v>1</v>
      </c>
      <c r="K36" s="1" t="s">
        <v>6</v>
      </c>
    </row>
    <row r="37" spans="5:11" x14ac:dyDescent="0.15">
      <c r="E37" s="9">
        <v>33</v>
      </c>
      <c r="F37" s="6" t="s">
        <v>40</v>
      </c>
      <c r="G37" s="11"/>
      <c r="H37" s="1" t="s">
        <v>6</v>
      </c>
    </row>
    <row r="38" spans="5:11" x14ac:dyDescent="0.15">
      <c r="E38" s="9">
        <v>34</v>
      </c>
      <c r="F38" s="6" t="s">
        <v>26</v>
      </c>
      <c r="G38" s="11"/>
      <c r="H38" s="1" t="s">
        <v>6</v>
      </c>
      <c r="I38" s="2" t="s">
        <v>13</v>
      </c>
      <c r="J38" s="7">
        <f>G38+COUNTIF($B$2:$B$10004, "9")-1</f>
        <v>1</v>
      </c>
      <c r="K38" s="1" t="s">
        <v>6</v>
      </c>
    </row>
    <row r="39" spans="5:11" x14ac:dyDescent="0.15">
      <c r="E39" s="9">
        <v>35</v>
      </c>
      <c r="F39" s="6" t="s">
        <v>41</v>
      </c>
      <c r="G39" s="11"/>
      <c r="H39" s="1" t="s">
        <v>6</v>
      </c>
    </row>
    <row r="40" spans="5:11" x14ac:dyDescent="0.15">
      <c r="E40" s="9">
        <v>36</v>
      </c>
      <c r="F40" s="6" t="s">
        <v>30</v>
      </c>
      <c r="G40" s="12"/>
      <c r="H40" s="1" t="s">
        <v>6</v>
      </c>
      <c r="I40" s="2" t="s">
        <v>13</v>
      </c>
      <c r="J40" s="7">
        <f>G40+COUNTIF($B$2:$B$10004, "9")-1</f>
        <v>1</v>
      </c>
      <c r="K40" s="1" t="s">
        <v>6</v>
      </c>
    </row>
    <row r="41" spans="5:11" x14ac:dyDescent="0.15">
      <c r="E41" s="9"/>
      <c r="F41" s="6"/>
      <c r="G41" s="18"/>
      <c r="I41" s="2"/>
    </row>
    <row r="42" spans="5:11" x14ac:dyDescent="0.15">
      <c r="E42" s="1" t="s">
        <v>42</v>
      </c>
      <c r="F42" s="1" t="s">
        <v>43</v>
      </c>
      <c r="G42" s="3"/>
    </row>
    <row r="43" spans="5:11" x14ac:dyDescent="0.15">
      <c r="E43" s="1" t="s">
        <v>46</v>
      </c>
      <c r="G43" s="3"/>
    </row>
    <row r="44" spans="5:11" x14ac:dyDescent="0.15">
      <c r="G44" s="3"/>
    </row>
  </sheetData>
  <phoneticPr fontId="2"/>
  <dataValidations count="1">
    <dataValidation type="list" allowBlank="1" showInputMessage="1" showErrorMessage="1" sqref="G4" xr:uid="{00000000-0002-0000-0100-000000000000}">
      <formula1>"0,1"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btnResetNg">
          <controlPr defaultSize="0" autoLine="0" autoPict="0" r:id="rId5">
            <anchor moveWithCells="1">
              <from>
                <xdr:col>3</xdr:col>
                <xdr:colOff>333375</xdr:colOff>
                <xdr:row>8</xdr:row>
                <xdr:rowOff>142875</xdr:rowOff>
              </from>
              <to>
                <xdr:col>4</xdr:col>
                <xdr:colOff>533400</xdr:colOff>
                <xdr:row>10</xdr:row>
                <xdr:rowOff>142875</xdr:rowOff>
              </to>
            </anchor>
          </controlPr>
        </control>
      </mc:Choice>
      <mc:Fallback>
        <control shapeId="1029" r:id="rId4" name="btnResetNg"/>
      </mc:Fallback>
    </mc:AlternateContent>
    <mc:AlternateContent xmlns:mc="http://schemas.openxmlformats.org/markup-compatibility/2006">
      <mc:Choice Requires="x14">
        <control shapeId="1028" r:id="rId6" name="btnResetOk">
          <controlPr defaultSize="0" autoLine="0" autoPict="0" r:id="rId7">
            <anchor moveWithCells="1">
              <from>
                <xdr:col>3</xdr:col>
                <xdr:colOff>342900</xdr:colOff>
                <xdr:row>6</xdr:row>
                <xdr:rowOff>66675</xdr:rowOff>
              </from>
              <to>
                <xdr:col>4</xdr:col>
                <xdr:colOff>523875</xdr:colOff>
                <xdr:row>8</xdr:row>
                <xdr:rowOff>66675</xdr:rowOff>
              </to>
            </anchor>
          </controlPr>
        </control>
      </mc:Choice>
      <mc:Fallback>
        <control shapeId="1028" r:id="rId6" name="btnResetOk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4</xdr:col>
                <xdr:colOff>466725</xdr:colOff>
                <xdr:row>2</xdr:row>
                <xdr:rowOff>104775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32" r:id="rId10" name="btnClear">
          <controlPr defaultSize="0" autoLine="0" autoPict="0" r:id="rId11">
            <anchor moveWithCells="1">
              <from>
                <xdr:col>3</xdr:col>
                <xdr:colOff>333375</xdr:colOff>
                <xdr:row>11</xdr:row>
                <xdr:rowOff>76200</xdr:rowOff>
              </from>
              <to>
                <xdr:col>4</xdr:col>
                <xdr:colOff>504825</xdr:colOff>
                <xdr:row>13</xdr:row>
                <xdr:rowOff>47625</xdr:rowOff>
              </to>
            </anchor>
          </controlPr>
        </control>
      </mc:Choice>
      <mc:Fallback>
        <control shapeId="1032" r:id="rId10" name="btnCle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2" x14ac:dyDescent="0.15"/>
  <cols>
    <col min="1" max="5" width="9" style="3"/>
    <col min="6" max="6" width="12.25" style="3" bestFit="1" customWidth="1"/>
    <col min="7" max="7" width="9.375" style="3" bestFit="1" customWidth="1"/>
    <col min="8" max="16384" width="9" style="3"/>
  </cols>
  <sheetData/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2" x14ac:dyDescent="0.15"/>
  <cols>
    <col min="1" max="16384" width="9" style="3"/>
  </cols>
  <sheetData/>
  <phoneticPr fontId="2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6"/>
  <sheetViews>
    <sheetView workbookViewId="0">
      <selection activeCell="B1" sqref="B1:D26"/>
    </sheetView>
  </sheetViews>
  <sheetFormatPr defaultRowHeight="13.5" x14ac:dyDescent="0.15"/>
  <cols>
    <col min="1" max="2" width="3.5" bestFit="1" customWidth="1"/>
    <col min="3" max="3" width="2.75" bestFit="1" customWidth="1"/>
    <col min="4" max="4" width="4.5" bestFit="1" customWidth="1"/>
  </cols>
  <sheetData>
    <row r="1" spans="1:6" x14ac:dyDescent="0.15">
      <c r="A1">
        <v>1</v>
      </c>
      <c r="B1">
        <v>1</v>
      </c>
      <c r="C1" t="s">
        <v>59</v>
      </c>
      <c r="D1">
        <v>4</v>
      </c>
    </row>
    <row r="2" spans="1:6" x14ac:dyDescent="0.15">
      <c r="A2">
        <v>2</v>
      </c>
      <c r="B2">
        <v>2</v>
      </c>
      <c r="C2">
        <v>9</v>
      </c>
      <c r="D2">
        <v>8</v>
      </c>
    </row>
    <row r="3" spans="1:6" x14ac:dyDescent="0.15">
      <c r="A3">
        <v>3</v>
      </c>
      <c r="B3">
        <v>3</v>
      </c>
      <c r="C3" t="s">
        <v>59</v>
      </c>
      <c r="D3">
        <v>10</v>
      </c>
    </row>
    <row r="4" spans="1:6" x14ac:dyDescent="0.15">
      <c r="A4">
        <v>4</v>
      </c>
      <c r="B4">
        <v>4</v>
      </c>
      <c r="C4" t="s">
        <v>60</v>
      </c>
      <c r="D4">
        <v>60</v>
      </c>
    </row>
    <row r="5" spans="1:6" x14ac:dyDescent="0.15">
      <c r="A5">
        <v>5</v>
      </c>
      <c r="B5">
        <v>5</v>
      </c>
      <c r="C5" t="s">
        <v>59</v>
      </c>
      <c r="D5">
        <v>48</v>
      </c>
    </row>
    <row r="6" spans="1:6" x14ac:dyDescent="0.15">
      <c r="A6">
        <v>6</v>
      </c>
      <c r="B6">
        <v>6</v>
      </c>
      <c r="C6">
        <v>9</v>
      </c>
      <c r="D6">
        <v>8</v>
      </c>
      <c r="E6" t="s">
        <v>63</v>
      </c>
    </row>
    <row r="7" spans="1:6" x14ac:dyDescent="0.15">
      <c r="A7">
        <v>7</v>
      </c>
      <c r="B7">
        <v>7</v>
      </c>
      <c r="C7" t="s">
        <v>59</v>
      </c>
      <c r="D7">
        <v>1</v>
      </c>
    </row>
    <row r="8" spans="1:6" x14ac:dyDescent="0.15">
      <c r="A8">
        <v>8</v>
      </c>
      <c r="B8">
        <v>8</v>
      </c>
      <c r="C8" t="s">
        <v>59</v>
      </c>
      <c r="D8">
        <v>2</v>
      </c>
      <c r="E8" t="s">
        <v>61</v>
      </c>
      <c r="F8" t="s">
        <v>64</v>
      </c>
    </row>
    <row r="9" spans="1:6" x14ac:dyDescent="0.15">
      <c r="A9">
        <v>9</v>
      </c>
      <c r="B9">
        <v>9</v>
      </c>
      <c r="C9" t="s">
        <v>59</v>
      </c>
      <c r="D9">
        <v>1</v>
      </c>
    </row>
    <row r="10" spans="1:6" x14ac:dyDescent="0.15">
      <c r="A10">
        <v>10</v>
      </c>
      <c r="B10">
        <v>10</v>
      </c>
      <c r="C10" t="s">
        <v>59</v>
      </c>
      <c r="D10">
        <v>2</v>
      </c>
    </row>
    <row r="11" spans="1:6" x14ac:dyDescent="0.15">
      <c r="A11">
        <v>11</v>
      </c>
      <c r="B11">
        <v>11</v>
      </c>
      <c r="C11" t="s">
        <v>59</v>
      </c>
      <c r="D11">
        <v>1</v>
      </c>
      <c r="E11" t="s">
        <v>61</v>
      </c>
      <c r="F11" t="s">
        <v>65</v>
      </c>
    </row>
    <row r="12" spans="1:6" x14ac:dyDescent="0.15">
      <c r="A12">
        <v>12</v>
      </c>
      <c r="B12">
        <v>12</v>
      </c>
      <c r="C12" t="s">
        <v>59</v>
      </c>
      <c r="D12">
        <v>48</v>
      </c>
      <c r="E12" t="s">
        <v>62</v>
      </c>
    </row>
    <row r="13" spans="1:6" x14ac:dyDescent="0.15">
      <c r="A13">
        <v>13</v>
      </c>
      <c r="B13">
        <v>13</v>
      </c>
      <c r="C13" t="s">
        <v>59</v>
      </c>
      <c r="D13">
        <v>8</v>
      </c>
    </row>
    <row r="14" spans="1:6" x14ac:dyDescent="0.15">
      <c r="A14">
        <v>14</v>
      </c>
      <c r="B14">
        <v>14</v>
      </c>
      <c r="C14" t="s">
        <v>60</v>
      </c>
      <c r="D14">
        <v>40</v>
      </c>
    </row>
    <row r="15" spans="1:6" x14ac:dyDescent="0.15">
      <c r="A15">
        <v>15</v>
      </c>
      <c r="B15">
        <v>15</v>
      </c>
      <c r="C15" t="s">
        <v>60</v>
      </c>
      <c r="D15">
        <v>40</v>
      </c>
    </row>
    <row r="16" spans="1:6" x14ac:dyDescent="0.15">
      <c r="A16">
        <v>16</v>
      </c>
      <c r="B16">
        <v>16</v>
      </c>
      <c r="C16" t="s">
        <v>60</v>
      </c>
      <c r="D16">
        <v>40</v>
      </c>
    </row>
    <row r="17" spans="1:4" x14ac:dyDescent="0.15">
      <c r="A17">
        <v>17</v>
      </c>
      <c r="B17">
        <v>17</v>
      </c>
      <c r="C17" t="s">
        <v>60</v>
      </c>
      <c r="D17">
        <v>40</v>
      </c>
    </row>
    <row r="18" spans="1:4" x14ac:dyDescent="0.15">
      <c r="A18">
        <v>18</v>
      </c>
      <c r="B18">
        <v>18</v>
      </c>
      <c r="C18" t="s">
        <v>60</v>
      </c>
      <c r="D18">
        <v>40</v>
      </c>
    </row>
    <row r="19" spans="1:4" x14ac:dyDescent="0.15">
      <c r="A19">
        <v>19</v>
      </c>
      <c r="B19">
        <v>19</v>
      </c>
      <c r="C19" t="s">
        <v>60</v>
      </c>
      <c r="D19">
        <v>40</v>
      </c>
    </row>
    <row r="20" spans="1:4" x14ac:dyDescent="0.15">
      <c r="A20">
        <v>20</v>
      </c>
      <c r="B20">
        <v>20</v>
      </c>
      <c r="C20" t="s">
        <v>60</v>
      </c>
      <c r="D20">
        <v>48</v>
      </c>
    </row>
    <row r="21" spans="1:4" x14ac:dyDescent="0.15">
      <c r="A21">
        <v>21</v>
      </c>
      <c r="B21">
        <v>21</v>
      </c>
      <c r="C21" t="s">
        <v>60</v>
      </c>
      <c r="D21">
        <v>30</v>
      </c>
    </row>
    <row r="22" spans="1:4" x14ac:dyDescent="0.15">
      <c r="A22">
        <v>22</v>
      </c>
      <c r="B22">
        <v>22</v>
      </c>
      <c r="C22" t="s">
        <v>59</v>
      </c>
      <c r="D22">
        <v>8</v>
      </c>
    </row>
    <row r="23" spans="1:4" x14ac:dyDescent="0.15">
      <c r="A23">
        <v>23</v>
      </c>
      <c r="B23">
        <v>23</v>
      </c>
      <c r="C23" t="s">
        <v>60</v>
      </c>
      <c r="D23">
        <v>30</v>
      </c>
    </row>
    <row r="24" spans="1:4" x14ac:dyDescent="0.15">
      <c r="A24">
        <v>24</v>
      </c>
      <c r="B24">
        <v>24</v>
      </c>
      <c r="C24" t="s">
        <v>60</v>
      </c>
      <c r="D24">
        <v>30</v>
      </c>
    </row>
    <row r="25" spans="1:4" x14ac:dyDescent="0.15">
      <c r="A25">
        <v>25</v>
      </c>
      <c r="B25">
        <v>25</v>
      </c>
      <c r="C25" t="s">
        <v>59</v>
      </c>
      <c r="D25">
        <v>15</v>
      </c>
    </row>
    <row r="26" spans="1:4" x14ac:dyDescent="0.15">
      <c r="A26">
        <v>26</v>
      </c>
      <c r="B26">
        <v>26</v>
      </c>
      <c r="C26" t="s">
        <v>59</v>
      </c>
      <c r="D26">
        <v>198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layout</vt:lpstr>
      <vt:lpstr>data</vt:lpstr>
      <vt:lpstr>ptn</vt:lpstr>
      <vt:lpstr>tbl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2025-06-22T08:43:33Z</dcterms:modified>
</cp:coreProperties>
</file>